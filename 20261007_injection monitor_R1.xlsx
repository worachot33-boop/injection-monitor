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E921CB-A6B8-43C1-94D6-B02C979588E1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" i="1" l="1"/>
</calcChain>
</file>

<file path=xl/sharedStrings.xml><?xml version="1.0" encoding="utf-8"?>
<sst xmlns="http://schemas.openxmlformats.org/spreadsheetml/2006/main" count="56" uniqueCount="39">
  <si>
    <t>Machine number</t>
  </si>
  <si>
    <t>B01</t>
  </si>
  <si>
    <t>V01</t>
  </si>
  <si>
    <t>Injection date</t>
  </si>
  <si>
    <t>8/20/2026</t>
  </si>
  <si>
    <t>Fill time</t>
  </si>
  <si>
    <t>cushion</t>
  </si>
  <si>
    <t>Recovery time</t>
  </si>
  <si>
    <t>Peak pressure</t>
  </si>
  <si>
    <t>cycle time</t>
  </si>
  <si>
    <t>-</t>
  </si>
  <si>
    <t>8/21/2026</t>
  </si>
  <si>
    <t>Set speed step 1(mm/sec)</t>
  </si>
  <si>
    <t>Set speed step 2(mm/sec)</t>
  </si>
  <si>
    <t>Set speed step 3(mm/sec)</t>
  </si>
  <si>
    <t>Set short size(mm)</t>
  </si>
  <si>
    <t>Set position step1(mm)</t>
  </si>
  <si>
    <t>Set speed step 2(mm)</t>
  </si>
  <si>
    <t>Set speed step 3(mm)</t>
  </si>
  <si>
    <t>VP change(mm)</t>
  </si>
  <si>
    <t>Set Fill peak(Mpa)</t>
  </si>
  <si>
    <t>Set cooling time(sec)</t>
  </si>
  <si>
    <t>Product Model</t>
  </si>
  <si>
    <t>AA551</t>
  </si>
  <si>
    <t>AA541</t>
  </si>
  <si>
    <t>Set nozzle (C)</t>
  </si>
  <si>
    <t>Set front(C)</t>
  </si>
  <si>
    <t>Set middle(C)</t>
  </si>
  <si>
    <t>Set real (C)</t>
  </si>
  <si>
    <t>Set hopper (C)</t>
  </si>
  <si>
    <t>Set core temp (C)</t>
  </si>
  <si>
    <t>Set cavity temp (C)</t>
  </si>
  <si>
    <t>Actual nozzle (C)2</t>
  </si>
  <si>
    <t>Actual front(C)3</t>
  </si>
  <si>
    <t>Actual middle(C)4</t>
  </si>
  <si>
    <t>Actual real (C)5</t>
  </si>
  <si>
    <t>Actual hopper (C)6</t>
  </si>
  <si>
    <t>Actual core temp (C)7</t>
  </si>
  <si>
    <t>Actual cavity temp (C)8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</si>
</sst>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A573D3-9980-4B93-825E-5F0D7F2CEA03}" name="Table2" displayName="Table2" ref="A1:AF5" totalsRowShown="0" headerRowDxfId="33" dataDxfId="32">
  <autoFilter ref="A1:AF5" xr:uid="{DB14E05C-4C9E-4012-AA0B-42EA78CC4EF7}"/>
  <tableColumns count="32">
    <tableColumn id="1" xr3:uid="{62BD30C4-B509-4C19-9FBF-40CDC8C87A86}" name="Machine number" dataDxfId="31"/>
    <tableColumn id="2" xr3:uid="{315964E2-7DDD-42CA-AA47-6789CEA48FB4}" name="Product Model" dataDxfId="30"/>
    <tableColumn id="3" xr3:uid="{77292597-9BDF-4902-9669-7BF6B15A29F8}" name="Injection date" dataDxfId="29"/>
    <tableColumn id="4" xr3:uid="{1155753F-C37C-4C0C-85A7-514B8A404E3F}" name="Set speed step 1(mm/sec)" dataDxfId="28"/>
    <tableColumn id="5" xr3:uid="{4CC33C5D-DB42-40D1-AC90-13ED0CA85225}" name="Set speed step 2(mm/sec)" dataDxfId="27"/>
    <tableColumn id="6" xr3:uid="{6CFA1DE1-7603-4460-8799-970A9150FD52}" name="Set speed step 3(mm/sec)" dataDxfId="26"/>
    <tableColumn id="7" xr3:uid="{A7B4C4DF-DB75-4691-934A-98F42BBBE74A}" name="Set short size(mm)" dataDxfId="25"/>
    <tableColumn id="8" xr3:uid="{5BD26DE6-955E-45DE-852E-E7A0ECBF70CD}" name="Set position step1(mm)" dataDxfId="24"/>
    <tableColumn id="9" xr3:uid="{96637DC5-8EE6-4162-9B1D-0CA38C1E74C8}" name="Set speed step 2(mm)" dataDxfId="23"/>
    <tableColumn id="10" xr3:uid="{F5BC2224-2B92-4F27-8411-4AC45BB298F2}" name="Set speed step 3(mm)" dataDxfId="22"/>
    <tableColumn id="11" xr3:uid="{AF5A95B3-D4E2-45BE-B4F2-BF66EDADCE47}" name="VP change(mm)" dataDxfId="21"/>
    <tableColumn id="12" xr3:uid="{E10CEDC3-1396-41DA-9702-E43DD2988DB1}" name="Set Fill peak(Mpa)" dataDxfId="20"/>
    <tableColumn id="13" xr3:uid="{99B172CC-1FA0-455C-8F9E-C8501B8794BA}" name="Set cooling time(sec)" dataDxfId="19"/>
    <tableColumn id="14" xr3:uid="{09BB496E-3246-4311-9DFB-2A54284DE13A}" name="Set nozzle (C)" dataDxfId="18"/>
    <tableColumn id="15" xr3:uid="{F852046C-5B57-4884-A560-C90B95CCAEC9}" name="Set front(C)" dataDxfId="17"/>
    <tableColumn id="16" xr3:uid="{2667631F-DA7A-48A2-AE20-C8546580C7D4}" name="Set middle(C)" dataDxfId="16"/>
    <tableColumn id="17" xr3:uid="{37D77E82-60C3-41E7-9AF6-6D17E86373EE}" name="Set real (C)" dataDxfId="15"/>
    <tableColumn id="18" xr3:uid="{AD1AEF61-00CF-4EAE-86A4-289BED1F9344}" name="Set hopper (C)" dataDxfId="14"/>
    <tableColumn id="19" xr3:uid="{1268DC21-710A-4986-A856-FF7364227D88}" name="Set core temp (C)" dataDxfId="13"/>
    <tableColumn id="20" xr3:uid="{6D949C5B-62BF-44E5-A144-1B07A7325688}" name="Set cavity temp (C)" dataDxfId="12"/>
    <tableColumn id="21" xr3:uid="{461724ED-B812-466C-AD24-66361250DF63}" name="Fill time" dataDxfId="11"/>
    <tableColumn id="22" xr3:uid="{EE5A0FD6-D89C-4AFB-B4AC-AED50795C534}" name="cushion" dataDxfId="10"/>
    <tableColumn id="23" xr3:uid="{F7351FA3-D5FE-41D2-A507-B4BBDE1D3A60}" name="Recovery time" dataDxfId="9"/>
    <tableColumn id="24" xr3:uid="{11779A93-7A38-4718-BB4A-8F062A93FEB4}" name="Peak pressure" dataDxfId="8"/>
    <tableColumn id="25" xr3:uid="{EC411141-8188-4FAD-A363-26A761C8BCF0}" name="cycle time" dataDxfId="7"/>
    <tableColumn id="26" xr3:uid="{ED3C1B10-889B-4AFC-83A1-D6E0495AC2FA}" name="Actual nozzle (C)2" dataDxfId="6">
      <calculatedColumnFormula>Table2[[#This Row],[Set nozzle (C)]]+0.4</calculatedColumnFormula>
    </tableColumn>
    <tableColumn id="27" xr3:uid="{DBF2A8A9-A6D5-4B47-AEB2-C9177B3AD8E3}" name="Actual front(C)3" dataDxfId="5"/>
    <tableColumn id="28" xr3:uid="{5794450F-F232-4C9D-BDCD-C4DEAFA18B44}" name="Actual middle(C)4" dataDxfId="4"/>
    <tableColumn id="29" xr3:uid="{F788683E-2632-485B-9D69-AEE75AE574AA}" name="Actual real (C)5" dataDxfId="3"/>
    <tableColumn id="30" xr3:uid="{EB8158E0-CC84-4795-9531-C87CFC473609}" name="Actual hopper (C)6" dataDxfId="2"/>
    <tableColumn id="31" xr3:uid="{518F5BF0-2D47-48F8-82E1-695B17934D7C}" name="Actual core temp (C)7" dataDxfId="1"/>
    <tableColumn id="32" xr3:uid="{DBE60F35-C40F-4046-B022-896787E8324E}" name="Actual cavity temp (C)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zoomScale="85" zoomScaleNormal="85" workbookViewId="0">
      <selection activeCell="AF6" sqref="AF6"/>
    </sheetView>
  </sheetViews>
  <sheetFormatPr defaultRowHeight="14.25" x14ac:dyDescent="0.2"/>
  <cols>
    <col min="1" max="1" width="17.625" style="1" customWidth="1"/>
    <col min="2" max="2" width="16" style="1" customWidth="1"/>
    <col min="3" max="3" width="15.875" style="1" customWidth="1"/>
    <col min="4" max="6" width="26.625" style="1" customWidth="1"/>
    <col min="7" max="7" width="19.875" style="1" customWidth="1"/>
    <col min="8" max="8" width="24.25" style="1" customWidth="1"/>
    <col min="9" max="10" width="22.75" style="1" customWidth="1"/>
    <col min="11" max="11" width="16.875" style="1" customWidth="1"/>
    <col min="12" max="12" width="18.875" style="1" customWidth="1"/>
    <col min="13" max="13" width="21.75" style="1" customWidth="1"/>
    <col min="14" max="18" width="15.875" style="1" customWidth="1"/>
    <col min="19" max="19" width="21.875" style="1" bestFit="1" customWidth="1"/>
    <col min="20" max="20" width="24.125" style="1" bestFit="1" customWidth="1"/>
    <col min="21" max="35" width="15.875" style="1" customWidth="1"/>
    <col min="36" max="16384" width="9" style="1"/>
  </cols>
  <sheetData>
    <row r="1" spans="1:32" x14ac:dyDescent="0.2">
      <c r="A1" s="1" t="s">
        <v>0</v>
      </c>
      <c r="B1" s="1" t="s">
        <v>22</v>
      </c>
      <c r="C1" s="1" t="s">
        <v>3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</row>
    <row r="2" spans="1:32" x14ac:dyDescent="0.2">
      <c r="A2" s="1" t="s">
        <v>1</v>
      </c>
      <c r="B2" s="1" t="s">
        <v>23</v>
      </c>
      <c r="C2" s="2" t="s">
        <v>4</v>
      </c>
      <c r="D2" s="1">
        <v>100</v>
      </c>
      <c r="E2" s="1">
        <v>60</v>
      </c>
      <c r="F2" s="1" t="s">
        <v>10</v>
      </c>
      <c r="G2" s="1">
        <v>32</v>
      </c>
      <c r="H2" s="1">
        <v>23</v>
      </c>
      <c r="I2" s="1" t="s">
        <v>10</v>
      </c>
      <c r="J2" s="1" t="s">
        <v>10</v>
      </c>
      <c r="K2" s="1">
        <v>6</v>
      </c>
      <c r="L2" s="1">
        <v>200</v>
      </c>
      <c r="M2" s="1">
        <v>25</v>
      </c>
      <c r="N2" s="1">
        <v>320</v>
      </c>
      <c r="O2" s="1">
        <v>310</v>
      </c>
      <c r="P2" s="1">
        <v>300</v>
      </c>
      <c r="Q2" s="1">
        <v>280</v>
      </c>
      <c r="R2" s="1">
        <v>100</v>
      </c>
      <c r="S2" s="1">
        <v>150</v>
      </c>
      <c r="T2" s="1">
        <v>150</v>
      </c>
      <c r="U2" s="1">
        <v>0.86</v>
      </c>
      <c r="V2" s="1">
        <v>4.2</v>
      </c>
      <c r="W2" s="1">
        <v>12.58</v>
      </c>
      <c r="X2" s="1">
        <v>186</v>
      </c>
      <c r="Y2" s="1">
        <v>33</v>
      </c>
      <c r="Z2" s="1">
        <f>Table2[[#This Row],[Set nozzle (C)]]+0.4</f>
        <v>320.39999999999998</v>
      </c>
      <c r="AA2" s="1">
        <v>310.2</v>
      </c>
      <c r="AB2" s="1">
        <v>299.89999999999998</v>
      </c>
      <c r="AC2" s="1">
        <v>280.2</v>
      </c>
      <c r="AD2" s="1">
        <v>99.9</v>
      </c>
      <c r="AE2" s="1">
        <v>152.30000000000001</v>
      </c>
      <c r="AF2" s="1">
        <v>151.19999999999999</v>
      </c>
    </row>
    <row r="3" spans="1:32" x14ac:dyDescent="0.2">
      <c r="A3" s="1" t="s">
        <v>2</v>
      </c>
      <c r="B3" s="1" t="s">
        <v>24</v>
      </c>
      <c r="C3" s="2" t="s">
        <v>4</v>
      </c>
      <c r="D3" s="1">
        <v>120</v>
      </c>
      <c r="E3" s="1">
        <v>80</v>
      </c>
      <c r="F3" s="1" t="s">
        <v>10</v>
      </c>
      <c r="G3" s="1">
        <v>45</v>
      </c>
      <c r="H3" s="1">
        <v>35</v>
      </c>
      <c r="I3" s="1" t="s">
        <v>10</v>
      </c>
      <c r="J3" s="1" t="s">
        <v>10</v>
      </c>
      <c r="K3" s="1">
        <v>6</v>
      </c>
      <c r="L3" s="1">
        <v>240</v>
      </c>
      <c r="M3" s="1">
        <v>32</v>
      </c>
      <c r="N3" s="1">
        <v>325</v>
      </c>
      <c r="O3" s="1">
        <v>310</v>
      </c>
      <c r="P3" s="1">
        <v>300</v>
      </c>
      <c r="Q3" s="1">
        <v>280</v>
      </c>
      <c r="R3" s="1">
        <v>100</v>
      </c>
      <c r="S3" s="1">
        <v>160</v>
      </c>
      <c r="T3" s="1">
        <v>160</v>
      </c>
      <c r="U3" s="1">
        <v>1.2</v>
      </c>
      <c r="V3" s="1">
        <v>4.55</v>
      </c>
      <c r="W3" s="1">
        <v>10.8</v>
      </c>
      <c r="X3" s="1">
        <v>215</v>
      </c>
      <c r="Y3" s="1">
        <v>55</v>
      </c>
      <c r="Z3" s="1">
        <v>325.10000000000002</v>
      </c>
      <c r="AA3" s="1">
        <v>310.7</v>
      </c>
      <c r="AB3" s="1">
        <v>299.7</v>
      </c>
      <c r="AC3" s="1">
        <v>280.3</v>
      </c>
      <c r="AD3" s="1">
        <v>99.7</v>
      </c>
      <c r="AE3" s="1">
        <v>160.4</v>
      </c>
      <c r="AF3" s="1">
        <v>158.9</v>
      </c>
    </row>
    <row r="4" spans="1:32" x14ac:dyDescent="0.2">
      <c r="A4" s="1" t="s">
        <v>1</v>
      </c>
      <c r="B4" s="1" t="s">
        <v>23</v>
      </c>
      <c r="C4" s="2" t="s">
        <v>11</v>
      </c>
      <c r="D4" s="1">
        <v>100</v>
      </c>
      <c r="E4" s="1">
        <v>60</v>
      </c>
      <c r="F4" s="1" t="s">
        <v>10</v>
      </c>
      <c r="G4" s="1">
        <v>32</v>
      </c>
      <c r="H4" s="1">
        <v>23</v>
      </c>
      <c r="I4" s="1" t="s">
        <v>10</v>
      </c>
      <c r="J4" s="1" t="s">
        <v>10</v>
      </c>
      <c r="K4" s="1">
        <v>6</v>
      </c>
      <c r="L4" s="1">
        <v>200</v>
      </c>
      <c r="M4" s="1">
        <v>25</v>
      </c>
      <c r="N4" s="1">
        <v>320</v>
      </c>
      <c r="O4" s="1">
        <v>310</v>
      </c>
      <c r="P4" s="1">
        <v>300</v>
      </c>
      <c r="Q4" s="1">
        <v>280</v>
      </c>
      <c r="R4" s="1">
        <v>100</v>
      </c>
      <c r="S4" s="1">
        <v>150</v>
      </c>
      <c r="T4" s="1">
        <v>150</v>
      </c>
      <c r="U4" s="1">
        <v>0.87</v>
      </c>
      <c r="V4" s="1">
        <v>4.2699999999999996</v>
      </c>
      <c r="W4" s="1">
        <v>14</v>
      </c>
      <c r="X4" s="1">
        <v>175</v>
      </c>
      <c r="Y4" s="1">
        <v>33</v>
      </c>
      <c r="Z4" s="1">
        <v>319.89999999999998</v>
      </c>
      <c r="AA4" s="1">
        <v>309.8</v>
      </c>
      <c r="AB4" s="1">
        <v>300.2</v>
      </c>
      <c r="AC4" s="1">
        <v>280.10000000000002</v>
      </c>
      <c r="AD4" s="1">
        <v>100.2</v>
      </c>
      <c r="AE4" s="1">
        <v>149.19999999999999</v>
      </c>
      <c r="AF4" s="1">
        <v>148.9</v>
      </c>
    </row>
    <row r="5" spans="1:32" x14ac:dyDescent="0.2">
      <c r="A5" s="1" t="s">
        <v>2</v>
      </c>
      <c r="B5" s="1" t="s">
        <v>24</v>
      </c>
      <c r="C5" s="2" t="s">
        <v>11</v>
      </c>
      <c r="D5" s="1">
        <v>120</v>
      </c>
      <c r="E5" s="1">
        <v>80</v>
      </c>
      <c r="F5" s="1" t="s">
        <v>10</v>
      </c>
      <c r="G5" s="1">
        <v>45</v>
      </c>
      <c r="H5" s="1">
        <v>35</v>
      </c>
      <c r="I5" s="1" t="s">
        <v>10</v>
      </c>
      <c r="J5" s="1" t="s">
        <v>10</v>
      </c>
      <c r="K5" s="1">
        <v>6</v>
      </c>
      <c r="L5" s="1">
        <v>240</v>
      </c>
      <c r="M5" s="1">
        <v>32</v>
      </c>
      <c r="N5" s="1">
        <v>325</v>
      </c>
      <c r="O5" s="1">
        <v>310</v>
      </c>
      <c r="P5" s="1">
        <v>300</v>
      </c>
      <c r="Q5" s="1">
        <v>280</v>
      </c>
      <c r="R5" s="1">
        <v>100</v>
      </c>
      <c r="S5" s="1">
        <v>160</v>
      </c>
      <c r="T5" s="1">
        <v>160</v>
      </c>
      <c r="U5" s="1">
        <v>1.2</v>
      </c>
      <c r="V5" s="1">
        <v>4.7</v>
      </c>
      <c r="W5" s="1">
        <v>13.6</v>
      </c>
      <c r="X5" s="1">
        <v>207</v>
      </c>
      <c r="Y5" s="1">
        <v>57</v>
      </c>
      <c r="Z5" s="1">
        <v>325.3</v>
      </c>
      <c r="AA5" s="1">
        <v>309.39999999999998</v>
      </c>
      <c r="AB5" s="1">
        <v>300.39999999999998</v>
      </c>
      <c r="AC5" s="1">
        <v>280.39999999999998</v>
      </c>
      <c r="AD5" s="1">
        <v>100.4</v>
      </c>
      <c r="AE5" s="1">
        <v>158.4</v>
      </c>
      <c r="AF5" s="1">
        <v>162.30000000000001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2026-10-07T16:28:07Z</dcterms:modified>
</cp:coreProperties>
</file>